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ro\Documents\SVN\VBA-JsonParse\trunk\"/>
    </mc:Choice>
  </mc:AlternateContent>
  <bookViews>
    <workbookView xWindow="0" yWindow="0" windowWidth="20115" windowHeight="9240" activeTab="2"/>
  </bookViews>
  <sheets>
    <sheet name="Twitter" sheetId="1" r:id="rId1"/>
    <sheet name="Esri" sheetId="2" r:id="rId2"/>
    <sheet name="IEX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D4" i="2"/>
  <c r="E4" i="2"/>
  <c r="F4" i="2"/>
  <c r="B5" i="1"/>
  <c r="C4" i="2"/>
  <c r="B5" i="3"/>
  <c r="F5" i="3"/>
  <c r="D6" i="3"/>
  <c r="B7" i="3"/>
  <c r="F7" i="3"/>
  <c r="D8" i="3"/>
  <c r="B9" i="3"/>
  <c r="F9" i="3"/>
  <c r="D10" i="3"/>
  <c r="B11" i="3"/>
  <c r="F11" i="3"/>
  <c r="D12" i="3"/>
  <c r="B13" i="3"/>
  <c r="F13" i="3"/>
  <c r="C6" i="3"/>
  <c r="C8" i="3"/>
  <c r="G10" i="3"/>
  <c r="G12" i="3"/>
  <c r="C5" i="3"/>
  <c r="G5" i="3"/>
  <c r="E6" i="3"/>
  <c r="C7" i="3"/>
  <c r="G7" i="3"/>
  <c r="E8" i="3"/>
  <c r="C9" i="3"/>
  <c r="G9" i="3"/>
  <c r="E10" i="3"/>
  <c r="C11" i="3"/>
  <c r="G11" i="3"/>
  <c r="E12" i="3"/>
  <c r="C13" i="3"/>
  <c r="G13" i="3"/>
  <c r="E7" i="3"/>
  <c r="E9" i="3"/>
  <c r="E11" i="3"/>
  <c r="E13" i="3"/>
  <c r="D5" i="3"/>
  <c r="B6" i="3"/>
  <c r="F6" i="3"/>
  <c r="D7" i="3"/>
  <c r="B8" i="3"/>
  <c r="F8" i="3"/>
  <c r="D9" i="3"/>
  <c r="B10" i="3"/>
  <c r="F10" i="3"/>
  <c r="D11" i="3"/>
  <c r="B12" i="3"/>
  <c r="F12" i="3"/>
  <c r="D13" i="3"/>
  <c r="E5" i="3"/>
  <c r="G6" i="3"/>
  <c r="G8" i="3"/>
  <c r="C10" i="3"/>
  <c r="C12" i="3"/>
  <c r="C4" i="3"/>
  <c r="G4" i="3"/>
  <c r="D4" i="3"/>
  <c r="E4" i="3"/>
  <c r="F4" i="3"/>
  <c r="B4" i="3"/>
  <c r="A2" i="3"/>
</calcChain>
</file>

<file path=xl/sharedStrings.xml><?xml version="1.0" encoding="utf-8"?>
<sst xmlns="http://schemas.openxmlformats.org/spreadsheetml/2006/main" count="26" uniqueCount="26">
  <si>
    <t>Selector</t>
  </si>
  <si>
    <t>Result</t>
  </si>
  <si>
    <t>{
  "tweet": {
    "created_at": "Thu Apr 06 15:24:15 +0000 2017",
    "id_str": "850006245121695744",
    "text": "1\/ Today we\u2019re sharing our vision for the future of the Twitter API platform!\nhttps:\/\/t.co\/XweGngmxlP",
    "user": {
      "id": 2244994945,
      "name": "Twitter Dev",
      "screen_name": "TwitterDev",
      "location": "Internet",
      "url": "https:\/\/dev.twitter.com\/",
      "description": "Your official source for Twitter Platform news, updates &amp; events. Need technical help? Visit https:\/\/twittercommunity.com\/ \u2328\ufe0f #TapIntoTwitter"
    },
    "place": {
    },
    "entities": {
      "hashtags": [
      ],
      "urls": [
        {
          "url": "https:\/\/t.co\/XweGngmxlP",
          "unwound": {
            "url": "https:\/\/cards.twitter.com\/cards\/18ce53wgo4h\/3xo1c",
            "title": "Building the Future of the Twitter API Platform"
          }
        }
      ],
      "user_mentions": [
      ]
    }
  }
}</t>
  </si>
  <si>
    <t>.tweet</t>
  </si>
  <si>
    <t>.tweet.text</t>
  </si>
  <si>
    <t>.tweet.entities.hashtags</t>
  </si>
  <si>
    <t>.tweet.entities.urls</t>
  </si>
  <si>
    <t>.tweet.entities.urls[0].unwound.title</t>
  </si>
  <si>
    <t>.tweet.entities.urls.length</t>
  </si>
  <si>
    <t>Input</t>
  </si>
  <si>
    <t>.tweet['user']['name']</t>
  </si>
  <si>
    <t>X</t>
  </si>
  <si>
    <t>Y</t>
  </si>
  <si>
    <t>objectid</t>
  </si>
  <si>
    <t>name</t>
  </si>
  <si>
    <t>state_name</t>
  </si>
  <si>
    <t>pop2000</t>
  </si>
  <si>
    <t>https://sampleserver6.arcgisonline.com/arcgis/rest/services/USA/MapServer/3/query?geometryType=esriGeometryPoint&amp;inSR=4326&amp;outFields=*&amp;returnGeometry=false&amp;f=json&amp;geometry=</t>
  </si>
  <si>
    <t>date</t>
  </si>
  <si>
    <t>close</t>
  </si>
  <si>
    <t>Days Ago</t>
  </si>
  <si>
    <t>low</t>
  </si>
  <si>
    <t>high</t>
  </si>
  <si>
    <t>open</t>
  </si>
  <si>
    <t>volume</t>
  </si>
  <si>
    <t>https://api.iextrading.com/1.0/stock/msft/batch?types=quote,news,chart&amp;range=1m&amp;last=10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</si>
</sst>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 applyAlignment="1">
      <alignment wrapText="1"/>
    </xf>
    <xf numFmtId="0" fontId="3" fillId="0" borderId="0" xfId="1"/>
    <xf numFmtId="0" fontId="4" fillId="0" borderId="0" xfId="0" applyFont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IEX!$C$3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strRef>
              <c:f>IEX!$B$4:$B$13</c:f>
              <c:strCache>
                <c:ptCount val="10"/>
                <c:pt idx="0">
                  <c:v>2018-03-23</c:v>
                </c:pt>
                <c:pt idx="1">
                  <c:v>2018-03-26</c:v>
                </c:pt>
                <c:pt idx="2">
                  <c:v>2018-03-27</c:v>
                </c:pt>
                <c:pt idx="3">
                  <c:v>2018-03-28</c:v>
                </c:pt>
                <c:pt idx="4">
                  <c:v>2018-03-29</c:v>
                </c:pt>
                <c:pt idx="5">
                  <c:v>2018-04-02</c:v>
                </c:pt>
                <c:pt idx="6">
                  <c:v>2018-04-03</c:v>
                </c:pt>
                <c:pt idx="7">
                  <c:v>2018-04-04</c:v>
                </c:pt>
                <c:pt idx="8">
                  <c:v>2018-04-05</c:v>
                </c:pt>
                <c:pt idx="9">
                  <c:v>2018-04-06</c:v>
                </c:pt>
              </c:strCache>
            </c:strRef>
          </c:cat>
          <c:val>
            <c:numRef>
              <c:f>IEX!$C$4:$C$13</c:f>
              <c:numCache>
                <c:formatCode>General</c:formatCode>
                <c:ptCount val="10"/>
                <c:pt idx="0">
                  <c:v>44068949</c:v>
                </c:pt>
                <c:pt idx="1">
                  <c:v>56396780</c:v>
                </c:pt>
                <c:pt idx="2">
                  <c:v>56569011</c:v>
                </c:pt>
                <c:pt idx="3">
                  <c:v>52501146</c:v>
                </c:pt>
                <c:pt idx="4">
                  <c:v>45867548</c:v>
                </c:pt>
                <c:pt idx="5">
                  <c:v>48515417</c:v>
                </c:pt>
                <c:pt idx="6">
                  <c:v>37213837</c:v>
                </c:pt>
                <c:pt idx="7">
                  <c:v>35559956</c:v>
                </c:pt>
                <c:pt idx="8">
                  <c:v>29771881</c:v>
                </c:pt>
                <c:pt idx="9">
                  <c:v>38026000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E-41F2-9D4C-4C2E0077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7680848"/>
        <c:axId val="1327665872"/>
      </c:barChart>
      <c:stockChart>
        <c:ser>
          <c:idx val="1"/>
          <c:order val="1"/>
          <c:tx>
            <c:strRef>
              <c:f>IEX!$D$3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IEX!$B$4:$B$13</c:f>
              <c:strCache>
                <c:ptCount val="10"/>
                <c:pt idx="0">
                  <c:v>2018-03-23</c:v>
                </c:pt>
                <c:pt idx="1">
                  <c:v>2018-03-26</c:v>
                </c:pt>
                <c:pt idx="2">
                  <c:v>2018-03-27</c:v>
                </c:pt>
                <c:pt idx="3">
                  <c:v>2018-03-28</c:v>
                </c:pt>
                <c:pt idx="4">
                  <c:v>2018-03-29</c:v>
                </c:pt>
                <c:pt idx="5">
                  <c:v>2018-04-02</c:v>
                </c:pt>
                <c:pt idx="6">
                  <c:v>2018-04-03</c:v>
                </c:pt>
                <c:pt idx="7">
                  <c:v>2018-04-04</c:v>
                </c:pt>
                <c:pt idx="8">
                  <c:v>2018-04-05</c:v>
                </c:pt>
                <c:pt idx="9">
                  <c:v>2018-04-06</c:v>
                </c:pt>
              </c:strCache>
            </c:strRef>
          </c:cat>
          <c:val>
            <c:numRef>
              <c:f>IEX!$D$4:$D$13</c:f>
              <c:numCache>
                <c:formatCode>General</c:formatCode>
                <c:ptCount val="10"/>
                <c:pt idx="0">
                  <c:v>89.5</c:v>
                </c:pt>
                <c:pt idx="1">
                  <c:v>90.61</c:v>
                </c:pt>
                <c:pt idx="2">
                  <c:v>94.94</c:v>
                </c:pt>
                <c:pt idx="3">
                  <c:v>89.82</c:v>
                </c:pt>
                <c:pt idx="4">
                  <c:v>90.18</c:v>
                </c:pt>
                <c:pt idx="5">
                  <c:v>90.47</c:v>
                </c:pt>
                <c:pt idx="6">
                  <c:v>89.575000000000003</c:v>
                </c:pt>
                <c:pt idx="7">
                  <c:v>87.85</c:v>
                </c:pt>
                <c:pt idx="8">
                  <c:v>92.435000000000002</c:v>
                </c:pt>
                <c:pt idx="9">
                  <c:v>91.49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3E-41F2-9D4C-4C2E007742F6}"/>
            </c:ext>
          </c:extLst>
        </c:ser>
        <c:ser>
          <c:idx val="2"/>
          <c:order val="2"/>
          <c:tx>
            <c:strRef>
              <c:f>IEX!$E$3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IEX!$B$4:$B$13</c:f>
              <c:strCache>
                <c:ptCount val="10"/>
                <c:pt idx="0">
                  <c:v>2018-03-23</c:v>
                </c:pt>
                <c:pt idx="1">
                  <c:v>2018-03-26</c:v>
                </c:pt>
                <c:pt idx="2">
                  <c:v>2018-03-27</c:v>
                </c:pt>
                <c:pt idx="3">
                  <c:v>2018-03-28</c:v>
                </c:pt>
                <c:pt idx="4">
                  <c:v>2018-03-29</c:v>
                </c:pt>
                <c:pt idx="5">
                  <c:v>2018-04-02</c:v>
                </c:pt>
                <c:pt idx="6">
                  <c:v>2018-04-03</c:v>
                </c:pt>
                <c:pt idx="7">
                  <c:v>2018-04-04</c:v>
                </c:pt>
                <c:pt idx="8">
                  <c:v>2018-04-05</c:v>
                </c:pt>
                <c:pt idx="9">
                  <c:v>2018-04-06</c:v>
                </c:pt>
              </c:strCache>
            </c:strRef>
          </c:cat>
          <c:val>
            <c:numRef>
              <c:f>IEX!$E$4:$E$13</c:f>
              <c:numCache>
                <c:formatCode>General</c:formatCode>
                <c:ptCount val="10"/>
                <c:pt idx="0">
                  <c:v>90.46</c:v>
                </c:pt>
                <c:pt idx="1">
                  <c:v>94</c:v>
                </c:pt>
                <c:pt idx="2">
                  <c:v>95.138999999999996</c:v>
                </c:pt>
                <c:pt idx="3">
                  <c:v>91.23</c:v>
                </c:pt>
                <c:pt idx="4">
                  <c:v>92.29</c:v>
                </c:pt>
                <c:pt idx="5">
                  <c:v>90.88</c:v>
                </c:pt>
                <c:pt idx="6">
                  <c:v>90.05</c:v>
                </c:pt>
                <c:pt idx="7">
                  <c:v>92.76</c:v>
                </c:pt>
                <c:pt idx="8">
                  <c:v>93.064999999999998</c:v>
                </c:pt>
                <c:pt idx="9">
                  <c:v>92.46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3E-41F2-9D4C-4C2E007742F6}"/>
            </c:ext>
          </c:extLst>
        </c:ser>
        <c:ser>
          <c:idx val="3"/>
          <c:order val="3"/>
          <c:tx>
            <c:strRef>
              <c:f>IEX!$F$3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IEX!$B$4:$B$13</c:f>
              <c:strCache>
                <c:ptCount val="10"/>
                <c:pt idx="0">
                  <c:v>2018-03-23</c:v>
                </c:pt>
                <c:pt idx="1">
                  <c:v>2018-03-26</c:v>
                </c:pt>
                <c:pt idx="2">
                  <c:v>2018-03-27</c:v>
                </c:pt>
                <c:pt idx="3">
                  <c:v>2018-03-28</c:v>
                </c:pt>
                <c:pt idx="4">
                  <c:v>2018-03-29</c:v>
                </c:pt>
                <c:pt idx="5">
                  <c:v>2018-04-02</c:v>
                </c:pt>
                <c:pt idx="6">
                  <c:v>2018-04-03</c:v>
                </c:pt>
                <c:pt idx="7">
                  <c:v>2018-04-04</c:v>
                </c:pt>
                <c:pt idx="8">
                  <c:v>2018-04-05</c:v>
                </c:pt>
                <c:pt idx="9">
                  <c:v>2018-04-06</c:v>
                </c:pt>
              </c:strCache>
            </c:strRef>
          </c:cat>
          <c:val>
            <c:numRef>
              <c:f>IEX!$F$4:$F$13</c:f>
              <c:numCache>
                <c:formatCode>General</c:formatCode>
                <c:ptCount val="10"/>
                <c:pt idx="0">
                  <c:v>87.08</c:v>
                </c:pt>
                <c:pt idx="1">
                  <c:v>90.4</c:v>
                </c:pt>
                <c:pt idx="2">
                  <c:v>88.51</c:v>
                </c:pt>
                <c:pt idx="3">
                  <c:v>88.873000000000005</c:v>
                </c:pt>
                <c:pt idx="4">
                  <c:v>88.4</c:v>
                </c:pt>
                <c:pt idx="5">
                  <c:v>87.51</c:v>
                </c:pt>
                <c:pt idx="6">
                  <c:v>87.89</c:v>
                </c:pt>
                <c:pt idx="7">
                  <c:v>87.73</c:v>
                </c:pt>
                <c:pt idx="8">
                  <c:v>91.4</c:v>
                </c:pt>
                <c:pt idx="9">
                  <c:v>89.48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3E-41F2-9D4C-4C2E007742F6}"/>
            </c:ext>
          </c:extLst>
        </c:ser>
        <c:ser>
          <c:idx val="4"/>
          <c:order val="4"/>
          <c:tx>
            <c:strRef>
              <c:f>IEX!$G$3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IEX!$B$4:$B$13</c:f>
              <c:strCache>
                <c:ptCount val="10"/>
                <c:pt idx="0">
                  <c:v>2018-03-23</c:v>
                </c:pt>
                <c:pt idx="1">
                  <c:v>2018-03-26</c:v>
                </c:pt>
                <c:pt idx="2">
                  <c:v>2018-03-27</c:v>
                </c:pt>
                <c:pt idx="3">
                  <c:v>2018-03-28</c:v>
                </c:pt>
                <c:pt idx="4">
                  <c:v>2018-03-29</c:v>
                </c:pt>
                <c:pt idx="5">
                  <c:v>2018-04-02</c:v>
                </c:pt>
                <c:pt idx="6">
                  <c:v>2018-04-03</c:v>
                </c:pt>
                <c:pt idx="7">
                  <c:v>2018-04-04</c:v>
                </c:pt>
                <c:pt idx="8">
                  <c:v>2018-04-05</c:v>
                </c:pt>
                <c:pt idx="9">
                  <c:v>2018-04-06</c:v>
                </c:pt>
              </c:strCache>
            </c:strRef>
          </c:cat>
          <c:val>
            <c:numRef>
              <c:f>IEX!$G$4:$G$13</c:f>
              <c:numCache>
                <c:formatCode>General</c:formatCode>
                <c:ptCount val="10"/>
                <c:pt idx="0">
                  <c:v>87.18</c:v>
                </c:pt>
                <c:pt idx="1">
                  <c:v>93.78</c:v>
                </c:pt>
                <c:pt idx="2">
                  <c:v>89.47</c:v>
                </c:pt>
                <c:pt idx="3">
                  <c:v>89.39</c:v>
                </c:pt>
                <c:pt idx="4">
                  <c:v>91.27</c:v>
                </c:pt>
                <c:pt idx="5">
                  <c:v>88.52</c:v>
                </c:pt>
                <c:pt idx="6">
                  <c:v>89.71</c:v>
                </c:pt>
                <c:pt idx="7">
                  <c:v>92.33</c:v>
                </c:pt>
                <c:pt idx="8">
                  <c:v>92.38</c:v>
                </c:pt>
                <c:pt idx="9">
                  <c:v>90.23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3E-41F2-9D4C-4C2E00774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327692912"/>
        <c:axId val="1327668368"/>
      </c:stockChart>
      <c:catAx>
        <c:axId val="132768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665872"/>
        <c:crosses val="autoZero"/>
        <c:auto val="1"/>
        <c:lblAlgn val="ctr"/>
        <c:lblOffset val="100"/>
        <c:noMultiLvlLbl val="0"/>
      </c:catAx>
      <c:valAx>
        <c:axId val="13276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680848"/>
        <c:crosses val="autoZero"/>
        <c:crossBetween val="between"/>
      </c:valAx>
      <c:valAx>
        <c:axId val="1327668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692912"/>
        <c:crosses val="max"/>
        <c:crossBetween val="between"/>
      </c:valAx>
      <c:catAx>
        <c:axId val="1327692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27668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414337</xdr:colOff>
      <xdr:row>7</xdr:row>
      <xdr:rowOff>119062</xdr:rowOff>
    </xdr:from>
    <xdr:to>
      <xdr:col>12</xdr:col>
      <xdr:colOff>509587</xdr:colOff>
      <xdr:row>22</xdr:row>
      <xdr:rowOff>4762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pi.iextrading.com/1.0/stock/msft/batch?types=quote,news,chart&amp;range=1m&amp;last=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workbookViewId="0">
      <selection activeCell="B5" sqref="B5"/>
    </sheetView>
  </sheetViews>
  <sheetFormatPr defaultRowHeight="15" x14ac:dyDescent="0.25"/>
  <cols>
    <col min="1" max="1" width="64.7109375" customWidth="1"/>
    <col min="2" max="5" width="9.140625" customWidth="1"/>
  </cols>
  <sheetData>
    <row r="1" spans="1:10" x14ac:dyDescent="0.25">
      <c r="A1" s="2" t="s">
        <v>9</v>
      </c>
    </row>
    <row r="2" spans="1:10" ht="98.25" customHeight="1" x14ac:dyDescent="0.25">
      <c r="A2" s="3" t="s">
        <v>2</v>
      </c>
      <c r="B2" s="1"/>
      <c r="C2" s="1"/>
      <c r="D2" s="1"/>
      <c r="E2" s="1"/>
      <c r="F2" s="1"/>
      <c r="G2" s="1"/>
      <c r="H2" s="1"/>
      <c r="I2" s="1"/>
      <c r="J2" s="1"/>
    </row>
    <row r="4" spans="1:10" x14ac:dyDescent="0.25">
      <c r="A4" s="2" t="s">
        <v>0</v>
      </c>
      <c r="B4" s="2" t="s">
        <v>1</v>
      </c>
    </row>
    <row r="5" spans="1:10" x14ac:dyDescent="0.25">
      <c r="B5" t="str">
        <f>Json($A$2,A5)</f>
        <v>{"tweet":{"created_at":"Thu Apr 06 15:24:15 +0000 2017","id_str":"850006245121695744","text":"1/ Today we’re sharing our vision for the future of the Twitter API platform!\nhttps://t.co/XweGngmxlP","user":{"id":2244994945,"name":"Twitter Dev","screen_name":"TwitterDev","location":"Internet","url":"https://dev.twitter.com/","description":"Your official source for Twitter Platform news, updates &amp; events. Need technical help? Visit https://twittercommunity.com/ ⌨️ #TapIntoTwitter"},"place":{},"entities":{"hashtags":[],"urls":[{"url":"https://t.co/XweGngmxlP","unwound":{"url":"https://cards.twitter.com/cards/18ce53wgo4h/3xo1c","title":"Building the Future of the Twitter API Platform"}}],"user_mentions":[]}}}</v>
      </c>
    </row>
    <row r="6" spans="1:10" x14ac:dyDescent="0.25">
      <c r="A6" t="s">
        <v>3</v>
      </c>
    </row>
    <row r="7" spans="1:10" x14ac:dyDescent="0.25">
      <c r="A7" t="s">
        <v>4</v>
      </c>
    </row>
    <row r="8" spans="1:10" x14ac:dyDescent="0.25">
      <c r="A8" t="s">
        <v>10</v>
      </c>
    </row>
    <row r="9" spans="1:10" x14ac:dyDescent="0.25">
      <c r="A9" t="s">
        <v>5</v>
      </c>
    </row>
    <row r="10" spans="1:10" x14ac:dyDescent="0.25">
      <c r="A10" t="s">
        <v>6</v>
      </c>
    </row>
    <row r="11" spans="1:10" x14ac:dyDescent="0.25">
      <c r="A11" t="s">
        <v>8</v>
      </c>
    </row>
    <row r="12" spans="1:10" x14ac:dyDescent="0.25">
      <c r="A12" t="s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C4" sqref="C4:F4"/>
    </sheetView>
  </sheetViews>
  <sheetFormatPr defaultRowHeight="15" x14ac:dyDescent="0.25"/>
  <cols>
    <col min="3" max="6" width="16.7109375" customWidth="1"/>
  </cols>
  <sheetData>
    <row r="1" spans="1:6" x14ac:dyDescent="0.25">
      <c r="A1" t="s">
        <v>17</v>
      </c>
    </row>
    <row r="3" spans="1:6" x14ac:dyDescent="0.25">
      <c r="A3" s="2" t="s">
        <v>11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</row>
    <row r="4" spans="1:6" x14ac:dyDescent="0.25">
      <c r="A4">
        <v>-120</v>
      </c>
      <c r="B4">
        <v>41</v>
      </c>
      <c r="C4">
        <f>Json(HttpGet($A$1&amp;$A4&amp;","&amp;$B4),".features[0].attributes."&amp;C$3)</f>
        <v>742</v>
      </c>
      <c r="D4" t="str">
        <f>Json(HttpGet($A$1&amp;$A4&amp;","&amp;$B4),".features[0].attributes."&amp;D$3)</f>
        <v>Lassen</v>
      </c>
      <c r="E4" t="str">
        <f>Json(HttpGet($A$1&amp;$A4&amp;","&amp;$B4),".features[0].attributes."&amp;E$3)</f>
        <v>California</v>
      </c>
      <c r="F4">
        <f>Json(HttpGet($A$1&amp;$A4&amp;","&amp;$B4),".features[0].attributes."&amp;F$3)</f>
        <v>33828</v>
      </c>
    </row>
    <row r="5" spans="1:6" x14ac:dyDescent="0.25">
      <c r="A5">
        <f>A4+3</f>
        <v>-117</v>
      </c>
      <c r="B5">
        <v>41</v>
      </c>
    </row>
    <row r="6" spans="1:6" x14ac:dyDescent="0.25">
      <c r="A6">
        <f t="shared" ref="A6:A19" si="0">A5+3</f>
        <v>-114</v>
      </c>
      <c r="B6">
        <v>41</v>
      </c>
    </row>
    <row r="7" spans="1:6" x14ac:dyDescent="0.25">
      <c r="A7">
        <f t="shared" si="0"/>
        <v>-111</v>
      </c>
      <c r="B7">
        <v>41</v>
      </c>
    </row>
    <row r="8" spans="1:6" x14ac:dyDescent="0.25">
      <c r="A8">
        <f t="shared" si="0"/>
        <v>-108</v>
      </c>
      <c r="B8">
        <v>41</v>
      </c>
    </row>
    <row r="9" spans="1:6" x14ac:dyDescent="0.25">
      <c r="A9">
        <f t="shared" si="0"/>
        <v>-105</v>
      </c>
      <c r="B9">
        <v>41</v>
      </c>
    </row>
    <row r="10" spans="1:6" x14ac:dyDescent="0.25">
      <c r="A10">
        <f t="shared" si="0"/>
        <v>-102</v>
      </c>
      <c r="B10">
        <v>41</v>
      </c>
    </row>
    <row r="11" spans="1:6" x14ac:dyDescent="0.25">
      <c r="A11">
        <f t="shared" si="0"/>
        <v>-99</v>
      </c>
      <c r="B11">
        <v>41</v>
      </c>
    </row>
    <row r="12" spans="1:6" x14ac:dyDescent="0.25">
      <c r="A12">
        <f t="shared" si="0"/>
        <v>-96</v>
      </c>
      <c r="B12">
        <v>41</v>
      </c>
    </row>
    <row r="13" spans="1:6" x14ac:dyDescent="0.25">
      <c r="A13">
        <f t="shared" si="0"/>
        <v>-93</v>
      </c>
      <c r="B13">
        <v>41</v>
      </c>
    </row>
    <row r="14" spans="1:6" x14ac:dyDescent="0.25">
      <c r="A14">
        <f t="shared" si="0"/>
        <v>-90</v>
      </c>
      <c r="B14">
        <v>41</v>
      </c>
    </row>
    <row r="15" spans="1:6" x14ac:dyDescent="0.25">
      <c r="A15">
        <f t="shared" si="0"/>
        <v>-87</v>
      </c>
      <c r="B15">
        <v>41</v>
      </c>
    </row>
    <row r="16" spans="1:6" x14ac:dyDescent="0.25">
      <c r="A16">
        <f t="shared" si="0"/>
        <v>-84</v>
      </c>
      <c r="B16">
        <v>41</v>
      </c>
    </row>
    <row r="17" spans="1:2" x14ac:dyDescent="0.25">
      <c r="A17">
        <f t="shared" si="0"/>
        <v>-81</v>
      </c>
      <c r="B17">
        <v>41</v>
      </c>
    </row>
    <row r="18" spans="1:2" x14ac:dyDescent="0.25">
      <c r="A18">
        <f t="shared" si="0"/>
        <v>-78</v>
      </c>
      <c r="B18">
        <v>41</v>
      </c>
    </row>
    <row r="19" spans="1:2" x14ac:dyDescent="0.25">
      <c r="A19">
        <f t="shared" si="0"/>
        <v>-75</v>
      </c>
      <c r="B19">
        <v>41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tabSelected="1" workbookViewId="0">
      <selection activeCell="A2" sqref="A2"/>
    </sheetView>
  </sheetViews>
  <sheetFormatPr defaultRowHeight="15" x14ac:dyDescent="0.25"/>
  <cols>
    <col min="1" max="7" width="10.7109375" customWidth="1"/>
  </cols>
  <sheetData>
    <row r="1" spans="1:7" x14ac:dyDescent="0.25">
      <c r="A1" s="4" t="s">
        <v>25</v>
      </c>
    </row>
    <row r="2" spans="1:7" s="5" customFormat="1" x14ac:dyDescent="0.25">
      <c r="A2" s="6" t="str">
        <f>Json(HttpGet($A$1), ".chart")</f>
        <v>[{"date":"2018-03-08","open":94.27,"high":95.1,"low":93.765,"close":94.43,"volume":25887828,"unadjustedVolume":25887828,"change":0.57,"changePercent":0.607,"vwap":94.4376,"label":"Mar 8","changeOverTime":0},{"date":"2018-03-09","open":95.29,"high":96.54,"low":95,"close":96.54,"volume":36937254,"unadjustedVolume":36937254,"change":2.11,"changePercent":2.234,"vwap":96.0072,"label":"Mar 9","changeOverTime":0.02234459387906385},{"date":"2018-03-12","open":96.5,"high":97.21,"low":96.04,"close":96.77,"volume":26073742,"unadjustedVolume":26073742,"change":0.23,"changePercent":0.238,"vwap":96.6893,"label":"Mar 12","changeOverTime":0.02478026051043089},{"date":"2018-03-13","open":97,"high":97.24,"low":93.97,"close":94.41,"volume":35387817,"unadjustedVolume":35387817,"change":-2.36,"changePercent":-2.439,"vwap":95.1757,"label":"Mar 13","changeOverTime":-0.00021179709837986052},{"date":"2018-03-14","open":95.12,"high":95.41,"low":93.5,"close":93.85,"volume":32131981,"unadjustedVolume":32131981,"change":-0.56,"changePercent":-0.593,"vwap":94.3105,"label":"Mar 14","changeOverTime":-0.006142115853012946},{"date":"2018-03-15","open":93.53,"high":94.58,"low":92.83,"close":94.18,"volume":27610998,"unadjustedVolume":27610998,"change":0.33,"changePercent":0.352,"vwap":93.9895,"label":"Mar 15","changeOverTime":-0.0026474637297469023},{"date":"2018-03-16","open":94.68,"high":95.38,"low":93.92,"close":94.6,"volume":49081279,"unadjustedVolume":49081279,"change":0.42,"changePercent":0.446,"vwap":94.5295,"label":"Mar 16","changeOverTime":0.0018002753362277611},{"date":"2018-03-19","open":93.74,"high":93.9,"low":92.11,"close":92.89,"volume":33344085,"unadjustedVolume":33344085,"change":-1.71,"changePercent":-1.808,"vwap":92.841,"label":"Mar 19","changeOverTime":-0.016308376575240983},{"date":"2018-03-20","open":93.05,"high":93.77,"low":93,"close":93.13,"volume":23075240,"unadjustedVolume":23075240,"change":0.24,"changePercent":0.258,"vwap":93.3411,"label":"Mar 20","changeOverTime":-0.013766811394684011},{"date":"2018-03-21","open":92.93,"high":94.05,"low":92.21,"close":92.48,"volume":24457082,"unadjustedVolume":24457082,"change":-0.65,"changePercent":-0.698,"vwap":92.9449,"label":"Mar 21","changeOverTime":-0.020650217092025868},{"date":"2018-03-22","open":91.265,"high":91.75,"low":89.66,"close":89.79,"volume":38604715,"unadjustedVolume":38604715,"change":-2.69,"changePercent":-2.909,"vwap":90.6126,"label":"Mar 22","changeOverTime":-0.04913692682410251},{"date":"2018-03-23","open":89.5,"high":90.46,"low":87.08,"close":87.18,"volume":44068949,"unadjustedVolume":44068949,"change":-2.61,"changePercent":-2.907,"vwap":88.8312,"label":"Mar 23","changeOverTime":-0.07677644816266016},{"date":"2018-03-26","open":90.61,"high":94,"low":90.4,"close":93.78,"volume":56396780,"unadjustedVolume":56396780,"change":6.6,"changePercent":7.571,"vwap":92.6083,"label":"Mar 26","changeOverTime":-0.006883405697342006},{"date":"2018-03-27","open":94.94,"high":95.139,"low":88.51,"close":89.47,"volume":56569011,"unadjustedVolume":56569011,"change":-4.31,"changePercent":-4.596,"vwap":91.9618,"label":"Mar 27","changeOverTime":-0.05252568039817863},{"date":"2018-03-28","open":89.82,"high":91.23,"low":88.873,"close":89.39,"volume":52501146,"unadjustedVolume":52501146,"change":-0.08,"changePercent":-0.089,"vwap":89.9177,"label":"Mar 28","changeOverTime":-0.053372868791697614},{"date":"2018-03-29","open":90.18,"high":92.29,"low":88.4,"close":91.27,"volume":45867548,"unadjustedVolume":45867548,"change":1.88,"changePercent":2.103,"vwap":90.4934,"label":"Mar 29","changeOverTime":-0.03346394154400096},{"date":"2018-04-02","open":90.47,"high":90.88,"low":87.51,"close":88.52,"volume":48515417,"unadjustedVolume":48515417,"change":-2.75,"changePercent":-3.013,"vwap":88.6545,"label":"Apr 2","changeOverTime":-0.06258604257121689},{"date":"2018-04-03","open":89.575,"high":90.05,"low":87.89,"close":89.71,"volume":37213837,"unadjustedVolume":37213837,"change":1.19,"changePercent":1.344,"vwap":89.1566,"label":"Apr 3","changeOverTime":-0.04998411521762165},{"date":"2018-04-04","open":87.85,"high":92.76,"low":87.73,"close":92.33,"volume":35559956,"unadjustedVolume":35559956,"change":2.62,"changePercent":2.921,"vwap":90.5077,"label":"Apr 4","changeOverTime":-0.02223869532987407},{"date":"2018-04-05","open":92.435,"high":93.065,"low":91.4,"close":92.38,"volume":29771881,"unadjustedVolume":29771881,"change":0.05,"changePercent":0.054,"vwap":92.346,"label":"Apr 5","changeOverTime":-0.021709202583924718},{"date":"2018-04-06","open":91.49,"high":92.46,"low":89.48,"close":90.23,"volume":38026000,"unadjustedVolume":38026000,"change":-2.15,"changePercent":-2.327,"vwap":90.7862,"label":"Apr 6","changeOverTime":-0.04447739065974799}]</v>
      </c>
    </row>
    <row r="3" spans="1:7" x14ac:dyDescent="0.25">
      <c r="A3" s="2" t="s">
        <v>20</v>
      </c>
      <c r="B3" s="2" t="s">
        <v>18</v>
      </c>
      <c r="C3" s="2" t="s">
        <v>24</v>
      </c>
      <c r="D3" s="2" t="s">
        <v>23</v>
      </c>
      <c r="E3" s="2" t="s">
        <v>22</v>
      </c>
      <c r="F3" s="2" t="s">
        <v>21</v>
      </c>
      <c r="G3" s="2" t="s">
        <v>19</v>
      </c>
    </row>
    <row r="4" spans="1:7" x14ac:dyDescent="0.25">
      <c r="A4">
        <v>10</v>
      </c>
      <c r="B4" t="str">
        <f t="shared" ref="B4:G13" si="0">Json($A$2,"[" &amp; Json($A$2, ".length")-$A4 &amp; "]."&amp;B$3)</f>
        <v>2018-03-23</v>
      </c>
      <c r="C4">
        <f t="shared" si="0"/>
        <v>44068949</v>
      </c>
      <c r="D4">
        <f t="shared" si="0"/>
        <v>89.5</v>
      </c>
      <c r="E4">
        <f t="shared" si="0"/>
        <v>90.46</v>
      </c>
      <c r="F4">
        <f t="shared" si="0"/>
        <v>87.08</v>
      </c>
      <c r="G4">
        <f t="shared" si="0"/>
        <v>87.18</v>
      </c>
    </row>
    <row r="5" spans="1:7" x14ac:dyDescent="0.25">
      <c r="A5">
        <v>9</v>
      </c>
      <c r="B5" t="str">
        <f t="shared" si="0"/>
        <v>2018-03-26</v>
      </c>
      <c r="C5">
        <f t="shared" si="0"/>
        <v>56396780</v>
      </c>
      <c r="D5">
        <f t="shared" si="0"/>
        <v>90.61</v>
      </c>
      <c r="E5">
        <f t="shared" si="0"/>
        <v>94</v>
      </c>
      <c r="F5">
        <f t="shared" si="0"/>
        <v>90.4</v>
      </c>
      <c r="G5">
        <f t="shared" si="0"/>
        <v>93.78</v>
      </c>
    </row>
    <row r="6" spans="1:7" x14ac:dyDescent="0.25">
      <c r="A6">
        <v>8</v>
      </c>
      <c r="B6" t="str">
        <f t="shared" si="0"/>
        <v>2018-03-27</v>
      </c>
      <c r="C6">
        <f t="shared" si="0"/>
        <v>56569011</v>
      </c>
      <c r="D6">
        <f t="shared" si="0"/>
        <v>94.94</v>
      </c>
      <c r="E6">
        <f t="shared" si="0"/>
        <v>95.138999999999996</v>
      </c>
      <c r="F6">
        <f t="shared" si="0"/>
        <v>88.51</v>
      </c>
      <c r="G6">
        <f t="shared" si="0"/>
        <v>89.47</v>
      </c>
    </row>
    <row r="7" spans="1:7" x14ac:dyDescent="0.25">
      <c r="A7">
        <v>7</v>
      </c>
      <c r="B7" t="str">
        <f t="shared" si="0"/>
        <v>2018-03-28</v>
      </c>
      <c r="C7">
        <f t="shared" si="0"/>
        <v>52501146</v>
      </c>
      <c r="D7">
        <f t="shared" si="0"/>
        <v>89.82</v>
      </c>
      <c r="E7">
        <f t="shared" si="0"/>
        <v>91.23</v>
      </c>
      <c r="F7">
        <f t="shared" si="0"/>
        <v>88.873000000000005</v>
      </c>
      <c r="G7">
        <f t="shared" si="0"/>
        <v>89.39</v>
      </c>
    </row>
    <row r="8" spans="1:7" x14ac:dyDescent="0.25">
      <c r="A8">
        <v>6</v>
      </c>
      <c r="B8" t="str">
        <f t="shared" si="0"/>
        <v>2018-03-29</v>
      </c>
      <c r="C8">
        <f t="shared" si="0"/>
        <v>45867548</v>
      </c>
      <c r="D8">
        <f t="shared" si="0"/>
        <v>90.18</v>
      </c>
      <c r="E8">
        <f t="shared" si="0"/>
        <v>92.29</v>
      </c>
      <c r="F8">
        <f t="shared" si="0"/>
        <v>88.4</v>
      </c>
      <c r="G8">
        <f t="shared" si="0"/>
        <v>91.27</v>
      </c>
    </row>
    <row r="9" spans="1:7" x14ac:dyDescent="0.25">
      <c r="A9">
        <v>5</v>
      </c>
      <c r="B9" t="str">
        <f t="shared" si="0"/>
        <v>2018-04-02</v>
      </c>
      <c r="C9">
        <f t="shared" si="0"/>
        <v>48515417</v>
      </c>
      <c r="D9">
        <f t="shared" si="0"/>
        <v>90.47</v>
      </c>
      <c r="E9">
        <f t="shared" si="0"/>
        <v>90.88</v>
      </c>
      <c r="F9">
        <f t="shared" si="0"/>
        <v>87.51</v>
      </c>
      <c r="G9">
        <f t="shared" si="0"/>
        <v>88.52</v>
      </c>
    </row>
    <row r="10" spans="1:7" x14ac:dyDescent="0.25">
      <c r="A10">
        <v>4</v>
      </c>
      <c r="B10" t="str">
        <f t="shared" si="0"/>
        <v>2018-04-03</v>
      </c>
      <c r="C10">
        <f t="shared" si="0"/>
        <v>37213837</v>
      </c>
      <c r="D10">
        <f t="shared" si="0"/>
        <v>89.575000000000003</v>
      </c>
      <c r="E10">
        <f t="shared" si="0"/>
        <v>90.05</v>
      </c>
      <c r="F10">
        <f t="shared" si="0"/>
        <v>87.89</v>
      </c>
      <c r="G10">
        <f t="shared" si="0"/>
        <v>89.71</v>
      </c>
    </row>
    <row r="11" spans="1:7" x14ac:dyDescent="0.25">
      <c r="A11">
        <v>3</v>
      </c>
      <c r="B11" t="str">
        <f t="shared" si="0"/>
        <v>2018-04-04</v>
      </c>
      <c r="C11">
        <f t="shared" si="0"/>
        <v>35559956</v>
      </c>
      <c r="D11">
        <f t="shared" si="0"/>
        <v>87.85</v>
      </c>
      <c r="E11">
        <f t="shared" si="0"/>
        <v>92.76</v>
      </c>
      <c r="F11">
        <f t="shared" si="0"/>
        <v>87.73</v>
      </c>
      <c r="G11">
        <f t="shared" si="0"/>
        <v>92.33</v>
      </c>
    </row>
    <row r="12" spans="1:7" x14ac:dyDescent="0.25">
      <c r="A12">
        <v>2</v>
      </c>
      <c r="B12" t="str">
        <f t="shared" si="0"/>
        <v>2018-04-05</v>
      </c>
      <c r="C12">
        <f t="shared" si="0"/>
        <v>29771881</v>
      </c>
      <c r="D12">
        <f t="shared" si="0"/>
        <v>92.435000000000002</v>
      </c>
      <c r="E12">
        <f t="shared" si="0"/>
        <v>93.064999999999998</v>
      </c>
      <c r="F12">
        <f t="shared" si="0"/>
        <v>91.4</v>
      </c>
      <c r="G12">
        <f t="shared" si="0"/>
        <v>92.38</v>
      </c>
    </row>
    <row r="13" spans="1:7" x14ac:dyDescent="0.25">
      <c r="A13">
        <v>1</v>
      </c>
      <c r="B13" t="str">
        <f t="shared" si="0"/>
        <v>2018-04-06</v>
      </c>
      <c r="C13">
        <f t="shared" si="0"/>
        <v>38026000</v>
      </c>
      <c r="D13">
        <f t="shared" si="0"/>
        <v>91.49</v>
      </c>
      <c r="E13">
        <f t="shared" si="0"/>
        <v>92.46</v>
      </c>
      <c r="F13">
        <f t="shared" si="0"/>
        <v>89.48</v>
      </c>
      <c r="G13">
        <f t="shared" si="0"/>
        <v>90.23</v>
      </c>
    </row>
  </sheetData>
  <hyperlinks>
    <hyperlink ref="A1" r:id="rId1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Twitter</vt:lpstr>
      <vt:lpstr>Esri</vt:lpstr>
      <vt:lpstr>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Jiro</dc:creator>
  <cp:lastModifiedBy>Jiro</cp:lastModifiedBy>
  <dcterms:created xsi:type="dcterms:W3CDTF">2018-04-04T12:35:50Z</dcterms:created>
  <dcterms:modified xsi:type="dcterms:W3CDTF">2018-04-09T01:49:57Z</dcterms:modified>
</cp:coreProperties>
</file>